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\Documents\DASHBOARD EXCEL\"/>
    </mc:Choice>
  </mc:AlternateContent>
  <xr:revisionPtr revIDLastSave="0" documentId="8_{DE3234DB-716A-4D14-9694-015542F79B3B}" xr6:coauthVersionLast="47" xr6:coauthVersionMax="47" xr10:uidLastSave="{00000000-0000-0000-0000-000000000000}"/>
  <bookViews>
    <workbookView xWindow="28680" yWindow="-120" windowWidth="29040" windowHeight="15720" tabRatio="387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4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<sst xmlns="http://schemas.openxmlformats.org/spreadsheetml/2006/main" count="2022" uniqueCount="324">
  <si>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</si>
  <si>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</si>
  <si>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</si>
  <si>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</si>
  <si>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</si>
  <si>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</si>
  <si>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</si>
  <si>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</si>
  <si>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</si>
  <si>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</si>
  <si>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</si>
  <si>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</si>
  <si>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</si>
  <si>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</si>
  <si>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</si>
  <si>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</si>
  <si>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</si>
  <si>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</si>
  <si>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</si>
  <si>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</si>
  <si>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</si>
  <si>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</si>
  <si>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</si>
  <si>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</si>
  <si>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</si>
  <si>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</si>
  <si>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</si>
  <si>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</si>
  <si>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</si>
  <si>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</si>
  <si>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</si>
  <si>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</si>
  <si>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</si>
  <si>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</si>
  <si>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</si>
  <si>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</si>
  <si>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</si>
  <si>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</si>
  <si>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</si>
  <si>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</si>
  <si>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</si>
  <si>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</si>
  <si>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</si>
  <si>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</si>
  <si>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</si>
  <si>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</si>
  <si>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</si>
  <si>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</si>
  <si>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</si>
  <si>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</si>
  <si>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</si>
  <si>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</si>
  <si>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</si>
  <si>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</si>
  <si>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</si>
  <si>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</si>
  <si>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</si>
  <si>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</si>
  <si>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</si>
  <si>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</si>
  <si>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</si>
  <si>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</si>
  <si>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</si>
  <si>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</si>
  <si>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</si>
  <si>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</si>
  <si>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</si>
  <si>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</si>
  <si>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</si>
  <si>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</si>
  <si>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</si>
  <si>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</si>
  <si>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</si>
  <si>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</si>
  <si>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</si>
  <si>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</si>
  <si>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</si>
  <si>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</si>
  <si>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</si>
  <si>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</si>
  <si>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</si>
  <si>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</si>
  <si>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</si>
  <si>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</si>
  <si>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</si>
  <si>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</si>
  <si>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</si>
  <si>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</si>
  <si>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</si>
  <si>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</si>
  <si>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</si>
  <si>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</si>
  <si>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</si>
  <si>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</si>
  <si>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</si>
  <si>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</si>
  <si>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</si>
  <si>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</si>
  <si>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</si>
  <si>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</si>
  <si>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</si>
  <si>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</si>
  <si>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</si>
  <si>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</si>
  <si>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</si>
  <si>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</si>
  <si>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</si>
  <si>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</si>
  <si>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</si>
  <si>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</si>
  <si>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</si>
  <si>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</si>
  <si>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</si>
  <si>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</si>
  <si>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</si>
  <si>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</si>
  <si>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</si>
  <si>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</si>
  <si>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</si>
  <si>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</si>
  <si>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</si>
  <si>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</si>
  <si>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</si>
  <si>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</si>
  <si>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</si>
  <si>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</si>
  <si>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</si>
  <si>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</si>
  <si>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</si>
  <si>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</si>
  <si>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</si>
  <si>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</si>
  <si>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</si>
  <si>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</si>
  <si>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</si>
  <si>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</si>
  <si>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</si>
  <si>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</si>
  <si>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</si>
  <si>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</si>
  <si>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</si>
  <si>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</si>
  <si>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</si>
  <si>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</si>
  <si>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</si>
  <si>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</si>
  <si>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</si>
  <si>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</si>
  <si>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</si>
  <si>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</si>
  <si>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</si>
  <si>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</si>
  <si>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</si>
  <si>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</si>
  <si>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</si>
  <si>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</si>
  <si>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</si>
  <si>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</si>
  <si>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</si>
  <si>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</si>
  <si>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</si>
  <si>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</si>
  <si>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</si>
  <si>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</si>
  <si>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</si>
  <si>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</si>
  <si>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</si>
  <si>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</si>
  <si>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</si>
  <si>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</si>
  <si>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</si>
  <si>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</si>
  <si>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</si>
  <si>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</si>
  <si>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</si>
  <si>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</si>
  <si>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</si>
  <si>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</si>
  <si>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</si>
  <si>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</si>
  <si>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</si>
  <si>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</si>
  <si>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</si>
  <si>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</si>
  <si>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</si>
  <si>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</si>
  <si>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</si>
  <si>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</si>
  <si>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</si>
  <si>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</si>
  <si>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</si>
  <si>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</si>
  <si>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</si>
  <si>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</si>
  <si>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</si>
  <si>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</si>
  <si>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</si>
  <si>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</si>
  <si>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</si>
  <si>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</si>
  <si>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</si>
  <si>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</si>
  <si>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</si>
  <si>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</si>
  <si>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</si>
  <si>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</si>
  <si>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</si>
  <si>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</si>
  <si>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</si>
  <si>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</si>
  <si>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</si>
  <si>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</si>
  <si>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</si>
  <si>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</si>
  <si>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</si>
  <si>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</si>
  <si>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</si>
  <si>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</si>
  <si>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</si>
  <si>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</si>
  <si>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</si>
  <si>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</si>
  <si>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</si>
  <si>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</si>
  <si>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</si>
  <si>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</si>
  <si>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</si>
  <si>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</si>
  <si>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</si>
  <si>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</si>
  <si>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</si>
  <si>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</si>
  <si>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</si>
  <si>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</si>
  <si>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</si>
  <si>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</si>
  <si>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</si>
  <si>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</si>
  <si>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</si>
  <si>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</si>
  <si>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</si>
  <si>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</si>
  <si>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</si>
  <si>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</si>
  <si>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</si>
  <si>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</si>
  <si>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</si>
  <si>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</si>
  <si>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</si>
  <si>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</si>
  <si>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</si>
  <si>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</si>
  <si>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</si>
  <si>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</si>
  <si>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</si>
  <si>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</si>
  <si>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</si>
  <si>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</si>
  <si>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</si>
  <si>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</si>
  <si>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</si>
  <si>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</si>
  <si>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</si>
  <si>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</si>
  <si>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</si>
  <si>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</si>
  <si>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</si>
  <si>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</si>
  <si>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</si>
  <si>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</si>
  <si>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</si>
  <si>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</si>
  <si>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</si>
  <si>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</si>
  <si>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</si>
  <si>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</si>
  <si>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</si>
  <si>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</si>
  <si>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</si>
  <si>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</si>
  <si>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</si>
  <si>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</si>
  <si>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</si>
  <si>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</si>
  <si>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</si>
  <si>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</si>
  <si>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</si>
  <si>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</si>
  <si>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</si>
  <si>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</si>
  <si>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</si>
  <si>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</si>
  <si>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</si>
  <si>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</si>
  <si>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</si>
  <si>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</si>
  <si>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</si>
  <si>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</si>
  <si>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</si>
  <si>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</si>
  <si>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</si>
  <si>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</si>
  <si>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</si>
  <si>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</si>
  <si>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</si>
  <si>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</si>
  <si>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</si>
  <si>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</si>
  <si>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</si>
  <si>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</si>
  <si>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</si>
  <si>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</si>
  <si>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</si>
  <si>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respondida através de alguma análise de dado específica</t>
  </si>
  <si>
    <r>
      <t xml:space="preserve">Pergunta de Negócio 01 -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 </t>
    </r>
    <r>
      <rPr>
        <sz val="11"/>
        <color theme="1"/>
        <rFont val="Aptos Narrow"/>
        <family val="2"/>
        <scheme val="minor"/>
      </rPr>
      <t>(contendo todas as assinaturas agregadas)</t>
    </r>
  </si>
  <si>
    <t>Rótulos de Linha</t>
  </si>
  <si>
    <t>Total Geral</t>
  </si>
  <si>
    <t>Soma de Total Value</t>
  </si>
  <si>
    <t>Pergunta de Negócio  02- Qual o faturamento total de vendas de planos anuais, separado por auto renovação não é por auto renovação</t>
  </si>
  <si>
    <t>XBOX GAME PASS SUBSCRIPTIONS SALES</t>
  </si>
  <si>
    <t>Pergunta de Negócio 03 - Total de vendas de Assinaturas do EA play</t>
  </si>
  <si>
    <t>Soma de EA Play Season Pass</t>
  </si>
  <si>
    <t>Pergunta de Negócio 04 - Total de vendas de Assinaturas Do Minecraft Seasson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</si>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</sst>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2AE6B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F6A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0" fillId="0" borderId="2" xfId="0" applyBorder="1"/>
    <xf numFmtId="0" fontId="4" fillId="8" borderId="2" xfId="1" applyFont="1" applyFill="1" applyBorder="1"/>
    <xf numFmtId="0" fontId="4" fillId="8" borderId="2" xfId="1" applyFont="1" applyFill="1" applyBorder="1" applyAlignment="1">
      <alignment horizontal="left" indent="8"/>
    </xf>
    <xf numFmtId="0" fontId="0" fillId="9" borderId="0" xfId="0" applyFill="1"/>
    <xf numFmtId="0" fontId="0" fillId="0" borderId="0" xfId="0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5BF6A8"/>
        </patternFill>
      </fill>
      <border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C8F8B014-0A5E-413C-81C1-0B5787ACE184}">
      <tableStyleElement type="wholeTable" dxfId="15"/>
      <tableStyleElement type="headerRow" dxfId="14"/>
    </tableStyle>
  </tableStyles>
  <colors>
    <mruColors>
      <color rgb="FF5BF6A8"/>
      <color rgb="FF2AE6B1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5656256865153532"/>
          <c:y val="0.14625973099016668"/>
          <c:w val="0.71335658611618979"/>
          <c:h val="0.684737089362800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98-4AA0-BED1-49FAF8F20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1530575"/>
        <c:axId val="1011537295"/>
      </c:barChart>
      <c:catAx>
        <c:axId val="10115305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1537295"/>
        <c:crosses val="autoZero"/>
        <c:auto val="1"/>
        <c:lblAlgn val="ctr"/>
        <c:lblOffset val="100"/>
        <c:noMultiLvlLbl val="0"/>
      </c:catAx>
      <c:valAx>
        <c:axId val="101153729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11530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515711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55245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55245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436245</xdr:colOff>
      <xdr:row>27</xdr:row>
      <xdr:rowOff>114299</xdr:rowOff>
    </xdr:from>
    <xdr:to>
      <xdr:col>4</xdr:col>
      <xdr:colOff>168351</xdr:colOff>
      <xdr:row>31</xdr:row>
      <xdr:rowOff>93345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49655" y="5172074"/>
          <a:ext cx="1560906" cy="70675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304800</xdr:colOff>
      <xdr:row>18</xdr:row>
      <xdr:rowOff>133350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6B258AE-D955-00B1-BBA8-2F788A8472E2}"/>
            </a:ext>
          </a:extLst>
        </xdr:cNvPr>
        <xdr:cNvSpPr>
          <a:spLocks noChangeAspect="1" noChangeArrowheads="1"/>
        </xdr:cNvSpPr>
      </xdr:nvSpPr>
      <xdr:spPr bwMode="auto">
        <a:xfrm>
          <a:off x="938784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304800</xdr:colOff>
      <xdr:row>18</xdr:row>
      <xdr:rowOff>133350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35FD38E9-2385-FB40-346B-AF828BEF1815}"/>
            </a:ext>
          </a:extLst>
        </xdr:cNvPr>
        <xdr:cNvSpPr>
          <a:spLocks noChangeAspect="1" noChangeArrowheads="1"/>
        </xdr:cNvSpPr>
      </xdr:nvSpPr>
      <xdr:spPr bwMode="auto">
        <a:xfrm>
          <a:off x="938784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304800</xdr:colOff>
      <xdr:row>18</xdr:row>
      <xdr:rowOff>133350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EAEB2F60-CF43-A1B1-E4A8-6DE5AC537BC5}"/>
            </a:ext>
          </a:extLst>
        </xdr:cNvPr>
        <xdr:cNvSpPr>
          <a:spLocks noChangeAspect="1" noChangeArrowheads="1"/>
        </xdr:cNvSpPr>
      </xdr:nvSpPr>
      <xdr:spPr bwMode="auto">
        <a:xfrm>
          <a:off x="938784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304800</xdr:colOff>
      <xdr:row>18</xdr:row>
      <xdr:rowOff>133350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B3B8B300-7EE0-01A0-7A8D-2CF5DEEB4B42}"/>
            </a:ext>
          </a:extLst>
        </xdr:cNvPr>
        <xdr:cNvSpPr>
          <a:spLocks noChangeAspect="1" noChangeArrowheads="1"/>
        </xdr:cNvSpPr>
      </xdr:nvSpPr>
      <xdr:spPr bwMode="auto">
        <a:xfrm>
          <a:off x="9387840" y="327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133350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C08013D6-8678-F989-E3E4-67E0FAD74025}"/>
            </a:ext>
          </a:extLst>
        </xdr:cNvPr>
        <xdr:cNvSpPr>
          <a:spLocks noChangeAspect="1" noChangeArrowheads="1"/>
        </xdr:cNvSpPr>
      </xdr:nvSpPr>
      <xdr:spPr bwMode="auto">
        <a:xfrm>
          <a:off x="16703040" y="36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125730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9F5B90B0-E9BE-0671-C97D-41D3362ACEAF}"/>
            </a:ext>
          </a:extLst>
        </xdr:cNvPr>
        <xdr:cNvSpPr>
          <a:spLocks noChangeAspect="1" noChangeArrowheads="1"/>
        </xdr:cNvSpPr>
      </xdr:nvSpPr>
      <xdr:spPr bwMode="auto">
        <a:xfrm>
          <a:off x="16703040" y="36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121920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F327C102-8555-5D02-A5E8-D5679B2CC0EF}"/>
            </a:ext>
          </a:extLst>
        </xdr:cNvPr>
        <xdr:cNvSpPr>
          <a:spLocks noChangeAspect="1" noChangeArrowheads="1"/>
        </xdr:cNvSpPr>
      </xdr:nvSpPr>
      <xdr:spPr bwMode="auto">
        <a:xfrm>
          <a:off x="16703040" y="36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2021204</xdr:colOff>
      <xdr:row>0</xdr:row>
      <xdr:rowOff>0</xdr:rowOff>
    </xdr:from>
    <xdr:to>
      <xdr:col>2</xdr:col>
      <xdr:colOff>531971</xdr:colOff>
      <xdr:row>2</xdr:row>
      <xdr:rowOff>462951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34E4B2C-E4C2-4FF3-9499-940BDCF3EE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1287"/>
        <a:stretch>
          <a:fillRect/>
        </a:stretch>
      </xdr:blipFill>
      <xdr:spPr>
        <a:xfrm>
          <a:off x="2021204" y="0"/>
          <a:ext cx="927736" cy="1141607"/>
        </a:xfrm>
        <a:prstGeom prst="rect">
          <a:avLst/>
        </a:prstGeom>
      </xdr:spPr>
    </xdr:pic>
    <xdr:clientData/>
  </xdr:twoCellAnchor>
  <xdr:twoCellAnchor editAs="absolute">
    <xdr:from>
      <xdr:col>0</xdr:col>
      <xdr:colOff>0</xdr:colOff>
      <xdr:row>5</xdr:row>
      <xdr:rowOff>16669</xdr:rowOff>
    </xdr:from>
    <xdr:to>
      <xdr:col>0</xdr:col>
      <xdr:colOff>2152650</xdr:colOff>
      <xdr:row>18</xdr:row>
      <xdr:rowOff>135732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E2ED923D-AC8B-408B-A18D-5DB4A6B9C0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89698"/>
              <a:ext cx="2148840" cy="2564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325279</xdr:colOff>
      <xdr:row>6</xdr:row>
      <xdr:rowOff>25478</xdr:rowOff>
    </xdr:from>
    <xdr:to>
      <xdr:col>13</xdr:col>
      <xdr:colOff>551498</xdr:colOff>
      <xdr:row>17</xdr:row>
      <xdr:rowOff>104059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995B6F42-AD72-FCDA-FAE5-7E71DDE73C43}"/>
            </a:ext>
          </a:extLst>
        </xdr:cNvPr>
        <xdr:cNvGrpSpPr/>
      </xdr:nvGrpSpPr>
      <xdr:grpSpPr>
        <a:xfrm>
          <a:off x="2738438" y="1521856"/>
          <a:ext cx="6758464" cy="2223611"/>
          <a:chOff x="2988469" y="1493996"/>
          <a:chExt cx="6750844" cy="2244566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E18F5971-B908-3A18-1110-757A15F30336}"/>
              </a:ext>
            </a:extLst>
          </xdr:cNvPr>
          <xdr:cNvSpPr/>
        </xdr:nvSpPr>
        <xdr:spPr>
          <a:xfrm>
            <a:off x="2988469" y="1500187"/>
            <a:ext cx="6731317" cy="2238375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pic>
        <xdr:nvPicPr>
          <xdr:cNvPr id="8" name="Imagem 7">
            <a:extLst>
              <a:ext uri="{FF2B5EF4-FFF2-40B4-BE49-F238E27FC236}">
                <a16:creationId xmlns:a16="http://schemas.microsoft.com/office/drawing/2014/main" id="{FE6E6C34-AA07-4E53-B5DA-8D8250E61BE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06592" y="2359280"/>
            <a:ext cx="1224915" cy="1146810"/>
          </a:xfrm>
          <a:prstGeom prst="rect">
            <a:avLst/>
          </a:prstGeom>
        </xdr:spPr>
      </xdr:pic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50E633E9-5C29-2D1C-E611-6985B5015471}"/>
              </a:ext>
            </a:extLst>
          </xdr:cNvPr>
          <xdr:cNvSpPr/>
        </xdr:nvSpPr>
        <xdr:spPr>
          <a:xfrm>
            <a:off x="2988469" y="1493996"/>
            <a:ext cx="6750844" cy="673418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E24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2FAD01EA-27FC-208B-6F54-D27D351304A4}"/>
              </a:ext>
            </a:extLst>
          </xdr:cNvPr>
          <xdr:cNvSpPr/>
        </xdr:nvSpPr>
        <xdr:spPr>
          <a:xfrm>
            <a:off x="4535807" y="2719563"/>
            <a:ext cx="2683191" cy="426243"/>
          </a:xfrm>
          <a:prstGeom prst="roundRect">
            <a:avLst>
              <a:gd name="adj" fmla="val 50000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0E8C36F-3E41-4B8D-93A7-3309CE6021B6}" type="TxLink">
              <a:rPr lang="en-US" sz="2800" b="1" i="0" u="none" strike="noStrike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R$ 600,00</a:t>
            </a:fld>
            <a:endParaRPr lang="pt-BR" sz="2800" b="1">
              <a:solidFill>
                <a:srgbClr val="2AE6B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15</xdr:col>
      <xdr:colOff>588646</xdr:colOff>
      <xdr:row>6</xdr:row>
      <xdr:rowOff>17388</xdr:rowOff>
    </xdr:from>
    <xdr:to>
      <xdr:col>27</xdr:col>
      <xdr:colOff>56675</xdr:colOff>
      <xdr:row>17</xdr:row>
      <xdr:rowOff>130246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770F4B5-A848-410E-318E-28CD13E61F40}"/>
            </a:ext>
          </a:extLst>
        </xdr:cNvPr>
        <xdr:cNvGrpSpPr/>
      </xdr:nvGrpSpPr>
      <xdr:grpSpPr>
        <a:xfrm>
          <a:off x="10748487" y="1521386"/>
          <a:ext cx="6754654" cy="2255983"/>
          <a:chOff x="10898029" y="1520190"/>
          <a:chExt cx="6754654" cy="2254324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5AF1C4CC-9E4E-4141-B729-4FE9CCA08104}"/>
              </a:ext>
            </a:extLst>
          </xdr:cNvPr>
          <xdr:cNvGrpSpPr/>
        </xdr:nvGrpSpPr>
        <xdr:grpSpPr>
          <a:xfrm>
            <a:off x="10898029" y="1520190"/>
            <a:ext cx="6754654" cy="2254324"/>
            <a:chOff x="2988469" y="1493996"/>
            <a:chExt cx="6750844" cy="2242903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94D2B35E-320E-15FE-0F87-B75724B4BD94}"/>
                </a:ext>
              </a:extLst>
            </xdr:cNvPr>
            <xdr:cNvSpPr/>
          </xdr:nvSpPr>
          <xdr:spPr>
            <a:xfrm>
              <a:off x="2992277" y="1503960"/>
              <a:ext cx="6731317" cy="2232939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6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1A9767E6-D695-06FD-5756-AB1D9939517E}"/>
                </a:ext>
              </a:extLst>
            </xdr:cNvPr>
            <xdr:cNvSpPr/>
          </xdr:nvSpPr>
          <xdr:spPr>
            <a:xfrm>
              <a:off x="5028075" y="2631356"/>
              <a:ext cx="2581699" cy="612512"/>
            </a:xfrm>
            <a:prstGeom prst="roundRect">
              <a:avLst>
                <a:gd name="adj" fmla="val 50000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E87FED1-47CD-4ADE-849E-D881A6D1DDC7}" type="TxLink">
                <a:rPr lang="en-US" sz="2800" b="1" i="0" u="none" strike="noStrike">
                  <a:solidFill>
                    <a:srgbClr val="2AE6B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R$ 940,00</a:t>
              </a:fld>
              <a:endParaRPr lang="pt-BR" sz="2800" b="1">
                <a:solidFill>
                  <a:srgbClr val="2AE6B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86C184B2-02E4-F989-4790-CB7445D57D49}"/>
                </a:ext>
              </a:extLst>
            </xdr:cNvPr>
            <xdr:cNvSpPr/>
          </xdr:nvSpPr>
          <xdr:spPr>
            <a:xfrm>
              <a:off x="2988469" y="1493996"/>
              <a:ext cx="6750844" cy="673418"/>
            </a:xfrm>
            <a:prstGeom prst="round2SameRect">
              <a:avLst/>
            </a:prstGeom>
            <a:solidFill>
              <a:srgbClr val="00B050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</a:t>
              </a:r>
              <a:r>
                <a:rPr lang="pt-BR" sz="11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  <a:endParaRPr lang="pt-BR" sz="11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3559CE62-EEEE-4596-B930-5A6B5BDFC1B2}"/>
              </a:ext>
            </a:extLst>
          </xdr:cNvPr>
          <xdr:cNvGrpSpPr/>
        </xdr:nvGrpSpPr>
        <xdr:grpSpPr>
          <a:xfrm>
            <a:off x="11146632" y="2562612"/>
            <a:ext cx="1555191" cy="698472"/>
            <a:chOff x="3476221" y="5495639"/>
            <a:chExt cx="1549476" cy="737690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6CAEDF2-6884-77DD-77EC-30DC9D2428B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43567" y="5495639"/>
              <a:ext cx="555497" cy="611660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4C1291E7-3A27-FFB4-8070-9FCFB966E4C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76221" y="5975247"/>
              <a:ext cx="1549476" cy="258082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154781</xdr:colOff>
      <xdr:row>21</xdr:row>
      <xdr:rowOff>170973</xdr:rowOff>
    </xdr:from>
    <xdr:to>
      <xdr:col>27</xdr:col>
      <xdr:colOff>87154</xdr:colOff>
      <xdr:row>43</xdr:row>
      <xdr:rowOff>132804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42D5F075-5775-16FD-7997-F04B9EB20EEC}"/>
            </a:ext>
          </a:extLst>
        </xdr:cNvPr>
        <xdr:cNvGrpSpPr/>
      </xdr:nvGrpSpPr>
      <xdr:grpSpPr>
        <a:xfrm>
          <a:off x="2571750" y="4532471"/>
          <a:ext cx="14959965" cy="3890893"/>
          <a:chOff x="2571750" y="4528661"/>
          <a:chExt cx="14958060" cy="3890893"/>
        </a:xfrm>
      </xdr:grpSpPr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04DE49E9-6A0C-0DD5-0446-FBB2C165445D}"/>
              </a:ext>
            </a:extLst>
          </xdr:cNvPr>
          <xdr:cNvGrpSpPr/>
        </xdr:nvGrpSpPr>
        <xdr:grpSpPr>
          <a:xfrm>
            <a:off x="2586038" y="4609622"/>
            <a:ext cx="14922340" cy="3813742"/>
            <a:chOff x="2852750" y="3964871"/>
            <a:chExt cx="7049929" cy="3297054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5352DB69-AA0C-1FBF-6983-A2A46987682A}"/>
                </a:ext>
              </a:extLst>
            </xdr:cNvPr>
            <xdr:cNvSpPr/>
          </xdr:nvSpPr>
          <xdr:spPr>
            <a:xfrm>
              <a:off x="2852750" y="3988183"/>
              <a:ext cx="7049929" cy="3273742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50FFA01-58F4-46FA-9DC1-DCDCDE40A545}"/>
                </a:ext>
              </a:extLst>
            </xdr:cNvPr>
            <xdr:cNvGraphicFramePr>
              <a:graphicFrameLocks/>
            </xdr:cNvGraphicFramePr>
          </xdr:nvGraphicFramePr>
          <xdr:xfrm>
            <a:off x="3156981" y="3964871"/>
            <a:ext cx="6498908" cy="32098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CA633F8F-B3E7-405F-A3D1-34D082D0DF13}"/>
              </a:ext>
            </a:extLst>
          </xdr:cNvPr>
          <xdr:cNvSpPr/>
        </xdr:nvSpPr>
        <xdr:spPr>
          <a:xfrm>
            <a:off x="2571750" y="4528661"/>
            <a:ext cx="14958060" cy="679323"/>
          </a:xfrm>
          <a:prstGeom prst="round2SameRect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1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</a:p>
          <a:p>
            <a:pPr algn="ctr"/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304800</xdr:colOff>
      <xdr:row>18</xdr:row>
      <xdr:rowOff>129540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D2538953-5822-7730-F2BE-BBBED8131063}"/>
            </a:ext>
          </a:extLst>
        </xdr:cNvPr>
        <xdr:cNvSpPr>
          <a:spLocks noChangeAspect="1" noChangeArrowheads="1"/>
        </xdr:cNvSpPr>
      </xdr:nvSpPr>
      <xdr:spPr bwMode="auto">
        <a:xfrm>
          <a:off x="10789920" y="36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27</xdr:col>
      <xdr:colOff>333376</xdr:colOff>
      <xdr:row>7</xdr:row>
      <xdr:rowOff>261938</xdr:rowOff>
    </xdr:from>
    <xdr:to>
      <xdr:col>28</xdr:col>
      <xdr:colOff>17622</xdr:colOff>
      <xdr:row>8</xdr:row>
      <xdr:rowOff>153352</xdr:rowOff>
    </xdr:to>
    <xdr:sp macro="" textlink="">
      <xdr:nvSpPr>
        <xdr:cNvPr id="4098" name="AutoShape 2">
          <a:extLst>
            <a:ext uri="{FF2B5EF4-FFF2-40B4-BE49-F238E27FC236}">
              <a16:creationId xmlns:a16="http://schemas.microsoft.com/office/drawing/2014/main" id="{654FC373-6B60-18FC-E61D-D1F695E75A15}"/>
            </a:ext>
          </a:extLst>
        </xdr:cNvPr>
        <xdr:cNvSpPr>
          <a:spLocks noChangeAspect="1" noChangeArrowheads="1"/>
        </xdr:cNvSpPr>
      </xdr:nvSpPr>
      <xdr:spPr bwMode="auto">
        <a:xfrm>
          <a:off x="17776032" y="1881188"/>
          <a:ext cx="304800" cy="3081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129540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65865AA7-CC70-A0F2-2768-7848D19ADF6E}"/>
            </a:ext>
          </a:extLst>
        </xdr:cNvPr>
        <xdr:cNvSpPr>
          <a:spLocks noChangeAspect="1" noChangeArrowheads="1"/>
        </xdr:cNvSpPr>
      </xdr:nvSpPr>
      <xdr:spPr bwMode="auto">
        <a:xfrm>
          <a:off x="1810512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129540</xdr:rowOff>
    </xdr:to>
    <xdr:sp macro="" textlink="">
      <xdr:nvSpPr>
        <xdr:cNvPr id="4102" name="AutoShape 6">
          <a:extLst>
            <a:ext uri="{FF2B5EF4-FFF2-40B4-BE49-F238E27FC236}">
              <a16:creationId xmlns:a16="http://schemas.microsoft.com/office/drawing/2014/main" id="{D63274C7-4F64-B181-F3A4-4AFC92A0F29D}"/>
            </a:ext>
          </a:extLst>
        </xdr:cNvPr>
        <xdr:cNvSpPr>
          <a:spLocks noChangeAspect="1" noChangeArrowheads="1"/>
        </xdr:cNvSpPr>
      </xdr:nvSpPr>
      <xdr:spPr bwMode="auto">
        <a:xfrm>
          <a:off x="1810512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28</xdr:col>
      <xdr:colOff>0</xdr:colOff>
      <xdr:row>19</xdr:row>
      <xdr:rowOff>0</xdr:rowOff>
    </xdr:from>
    <xdr:to>
      <xdr:col>28</xdr:col>
      <xdr:colOff>304800</xdr:colOff>
      <xdr:row>20</xdr:row>
      <xdr:rowOff>129540</xdr:rowOff>
    </xdr:to>
    <xdr:sp macro="" textlink="">
      <xdr:nvSpPr>
        <xdr:cNvPr id="4103" name="AutoShape 7">
          <a:extLst>
            <a:ext uri="{FF2B5EF4-FFF2-40B4-BE49-F238E27FC236}">
              <a16:creationId xmlns:a16="http://schemas.microsoft.com/office/drawing/2014/main" id="{ED98C555-B939-F237-957C-915E66BAEAE0}"/>
            </a:ext>
          </a:extLst>
        </xdr:cNvPr>
        <xdr:cNvSpPr>
          <a:spLocks noChangeAspect="1" noChangeArrowheads="1"/>
        </xdr:cNvSpPr>
      </xdr:nvSpPr>
      <xdr:spPr bwMode="auto">
        <a:xfrm>
          <a:off x="18105120" y="404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698659</xdr:colOff>
      <xdr:row>0</xdr:row>
      <xdr:rowOff>160496</xdr:rowOff>
    </xdr:from>
    <xdr:to>
      <xdr:col>0</xdr:col>
      <xdr:colOff>1407319</xdr:colOff>
      <xdr:row>2</xdr:row>
      <xdr:rowOff>135255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F9BE5B60-8F46-4DCF-93B3-5CB19039296A}"/>
            </a:ext>
          </a:extLst>
        </xdr:cNvPr>
        <xdr:cNvSpPr/>
      </xdr:nvSpPr>
      <xdr:spPr>
        <a:xfrm>
          <a:off x="698659" y="160496"/>
          <a:ext cx="708660" cy="653415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210502</xdr:colOff>
      <xdr:row>2</xdr:row>
      <xdr:rowOff>250031</xdr:rowOff>
    </xdr:from>
    <xdr:to>
      <xdr:col>1</xdr:col>
      <xdr:colOff>35718</xdr:colOff>
      <xdr:row>2</xdr:row>
      <xdr:rowOff>484346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377CE74B-00B0-74B7-99AF-5D132B0BB173}"/>
            </a:ext>
          </a:extLst>
        </xdr:cNvPr>
        <xdr:cNvSpPr/>
      </xdr:nvSpPr>
      <xdr:spPr>
        <a:xfrm>
          <a:off x="210502" y="928687"/>
          <a:ext cx="1992154" cy="23431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pt-BR" sz="1400" b="1">
              <a:solidFill>
                <a:schemeClr val="tx1">
                  <a:lumMod val="85000"/>
                  <a:lumOff val="15000"/>
                </a:schemeClr>
              </a:solidFill>
            </a:rPr>
            <a:t>&gt; Bem-vinda, Liana</a:t>
          </a:r>
        </a:p>
      </xdr:txBody>
    </xdr:sp>
    <xdr:clientData/>
  </xdr:twoCellAnchor>
  <xdr:twoCellAnchor editAs="absolute">
    <xdr:from>
      <xdr:col>2</xdr:col>
      <xdr:colOff>535780</xdr:colOff>
      <xdr:row>2</xdr:row>
      <xdr:rowOff>477679</xdr:rowOff>
    </xdr:from>
    <xdr:to>
      <xdr:col>13</xdr:col>
      <xdr:colOff>164781</xdr:colOff>
      <xdr:row>7</xdr:row>
      <xdr:rowOff>20002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4CD61612-BA41-4C5A-9578-C80E24072BEF}"/>
            </a:ext>
          </a:extLst>
        </xdr:cNvPr>
        <xdr:cNvSpPr/>
      </xdr:nvSpPr>
      <xdr:spPr>
        <a:xfrm>
          <a:off x="2952749" y="1156335"/>
          <a:ext cx="6153626" cy="4829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400" b="0" baseline="0">
              <a:solidFill>
                <a:schemeClr val="tx1">
                  <a:lumMod val="75000"/>
                  <a:lumOff val="25000"/>
                </a:schemeClr>
              </a:solidFill>
            </a:rPr>
            <a:t>Calculation period: 01/01/2025 - 10/12/2025 | Update date: 14/12/2025 13:02 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enrique" refreshedDate="46004.708476157408" createdVersion="8" refreshedVersion="8" minRefreshableVersion="3" recordCount="295" xr:uid="{6B6ADB55-C6E4-4CC7-84E1-22842C3868C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23080402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81F50-1CE5-4317-97A6-D6F0ADAA8591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0:C2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28DB90-E764-4CE5-90EB-040C004BA1AF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361883-21A6-4D7A-9501-66D6D4EDA29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2DB1765-8847-4E90-9DBC-FF2739A067CD}" sourceName="Subscription Type">
  <pivotTables>
    <pivotTable tabId="3" name="tbl_annual_total"/>
    <pivotTable tabId="3" name="tbl_easeasonpass_total"/>
    <pivotTable tabId="3" name="Tabela dinâmica2"/>
  </pivotTables>
  <data>
    <tabular pivotCacheId="1230804022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A1548DC-BE71-4DFF-B523-B106EC300DEE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3" zoomScaleNormal="100" workbookViewId="0">
      <selection activeCell="AC16" sqref="AC16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89" sqref="D8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6640625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6.7773437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E36"/>
  <sheetViews>
    <sheetView showGridLines="0" topLeftCell="A6" workbookViewId="0">
      <selection activeCell="E36" sqref="E36"/>
    </sheetView>
  </sheetViews>
  <sheetFormatPr defaultRowHeight="14.4" x14ac:dyDescent="0.3"/>
  <cols>
    <col min="2" max="2" width="17.88671875" bestFit="1" customWidth="1"/>
    <col min="3" max="3" width="34.109375" bestFit="1" customWidth="1"/>
    <col min="4" max="4" width="30.5546875" bestFit="1" customWidth="1"/>
    <col min="5" max="5" width="11.441406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2" spans="2:3" x14ac:dyDescent="0.3">
      <c r="B2" t="s">
        <v>313</v>
      </c>
    </row>
    <row r="4" spans="2:3" x14ac:dyDescent="0.3">
      <c r="B4" t="s">
        <v>314</v>
      </c>
    </row>
    <row r="5" spans="2:3" x14ac:dyDescent="0.3">
      <c r="B5" t="s">
        <v>318</v>
      </c>
    </row>
    <row r="8" spans="2:3" x14ac:dyDescent="0.3">
      <c r="B8" s="12" t="s">
        <v>16</v>
      </c>
      <c r="C8" t="s">
        <v>24</v>
      </c>
    </row>
    <row r="10" spans="2:3" x14ac:dyDescent="0.3">
      <c r="B10" s="12" t="s">
        <v>315</v>
      </c>
      <c r="C10" t="s">
        <v>317</v>
      </c>
    </row>
    <row r="11" spans="2:3" x14ac:dyDescent="0.3">
      <c r="B11" s="13" t="s">
        <v>23</v>
      </c>
      <c r="C11" s="14">
        <v>217</v>
      </c>
    </row>
    <row r="12" spans="2:3" x14ac:dyDescent="0.3">
      <c r="B12" s="13" t="s">
        <v>19</v>
      </c>
      <c r="C12" s="14">
        <v>1537</v>
      </c>
    </row>
    <row r="13" spans="2:3" x14ac:dyDescent="0.3">
      <c r="B13" s="13" t="s">
        <v>316</v>
      </c>
      <c r="C13" s="14">
        <v>1754</v>
      </c>
    </row>
    <row r="16" spans="2:3" x14ac:dyDescent="0.3">
      <c r="B16" s="13" t="s">
        <v>320</v>
      </c>
    </row>
    <row r="18" spans="2:5" x14ac:dyDescent="0.3">
      <c r="B18" s="12" t="s">
        <v>16</v>
      </c>
      <c r="C18" t="s">
        <v>24</v>
      </c>
    </row>
    <row r="20" spans="2:5" x14ac:dyDescent="0.3">
      <c r="B20" s="12" t="s">
        <v>315</v>
      </c>
      <c r="C20" t="s">
        <v>321</v>
      </c>
    </row>
    <row r="21" spans="2:5" x14ac:dyDescent="0.3">
      <c r="B21" s="13" t="s">
        <v>22</v>
      </c>
      <c r="C21">
        <v>0</v>
      </c>
    </row>
    <row r="22" spans="2:5" x14ac:dyDescent="0.3">
      <c r="B22" s="13" t="s">
        <v>26</v>
      </c>
      <c r="C22">
        <v>0</v>
      </c>
    </row>
    <row r="23" spans="2:5" x14ac:dyDescent="0.3">
      <c r="B23" s="13" t="s">
        <v>18</v>
      </c>
      <c r="C23">
        <v>600</v>
      </c>
    </row>
    <row r="24" spans="2:5" x14ac:dyDescent="0.3">
      <c r="B24" s="13" t="s">
        <v>316</v>
      </c>
      <c r="C24">
        <v>600</v>
      </c>
      <c r="E24" s="15">
        <f>GETPIVOTDATA("EA Play Season Pass
Price",$B$20)</f>
        <v>600</v>
      </c>
    </row>
    <row r="28" spans="2:5" x14ac:dyDescent="0.3">
      <c r="B28" s="20" t="s">
        <v>322</v>
      </c>
      <c r="C28" s="20"/>
      <c r="D28" s="20"/>
    </row>
    <row r="30" spans="2:5" x14ac:dyDescent="0.3">
      <c r="B30" s="12" t="s">
        <v>16</v>
      </c>
      <c r="C30" t="s">
        <v>24</v>
      </c>
    </row>
    <row r="32" spans="2:5" x14ac:dyDescent="0.3">
      <c r="B32" s="12" t="s">
        <v>315</v>
      </c>
      <c r="C32" t="s">
        <v>323</v>
      </c>
    </row>
    <row r="33" spans="2:5" x14ac:dyDescent="0.3">
      <c r="B33" s="13" t="s">
        <v>22</v>
      </c>
      <c r="C33" s="14">
        <v>0</v>
      </c>
    </row>
    <row r="34" spans="2:5" x14ac:dyDescent="0.3">
      <c r="B34" s="13" t="s">
        <v>26</v>
      </c>
      <c r="C34" s="14">
        <v>540</v>
      </c>
    </row>
    <row r="35" spans="2:5" x14ac:dyDescent="0.3">
      <c r="B35" s="13" t="s">
        <v>18</v>
      </c>
      <c r="C35" s="14">
        <v>400</v>
      </c>
    </row>
    <row r="36" spans="2:5" x14ac:dyDescent="0.3">
      <c r="B36" s="13" t="s">
        <v>316</v>
      </c>
      <c r="C36" s="14">
        <v>940</v>
      </c>
      <c r="E36" s="15">
        <f>GETPIVOTDATA("Minecraft Season Pass Price",$B$32)</f>
        <v>940</v>
      </c>
    </row>
  </sheetData>
  <mergeCells count="1">
    <mergeCell ref="B28:D28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5BF6A8"/>
  </sheetPr>
  <dimension ref="A2:AC74"/>
  <sheetViews>
    <sheetView showGridLines="0" showRowColHeaders="0" tabSelected="1" zoomScale="80" zoomScaleNormal="80" workbookViewId="0">
      <selection activeCell="A54" sqref="A54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1.6640625" style="6" customWidth="1"/>
    <col min="2" max="2" width="3.5546875" customWidth="1"/>
    <col min="12" max="12" width="6.5546875" customWidth="1"/>
  </cols>
  <sheetData>
    <row r="2" spans="1:27" ht="39" customHeight="1" thickBot="1" x14ac:dyDescent="0.6">
      <c r="C2" s="18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39" customHeight="1" thickTop="1" x14ac:dyDescent="0.3"/>
    <row r="4" spans="1:27" s="7" customFormat="1" ht="8.25" customHeight="1" x14ac:dyDescent="0.3">
      <c r="A4" s="6"/>
    </row>
    <row r="5" spans="1:27" s="7" customFormat="1" ht="7.5" customHeight="1" x14ac:dyDescent="0.3">
      <c r="A5" s="6"/>
    </row>
    <row r="6" spans="1:27" s="7" customFormat="1" ht="10.5" customHeight="1" x14ac:dyDescent="0.3">
      <c r="A6" s="6"/>
    </row>
    <row r="7" spans="1:27" s="7" customFormat="1" ht="9.75" customHeight="1" x14ac:dyDescent="0.3">
      <c r="A7" s="6"/>
    </row>
    <row r="8" spans="1:27" s="7" customFormat="1" ht="33" customHeight="1" x14ac:dyDescent="0.3">
      <c r="A8" s="6"/>
    </row>
    <row r="9" spans="1:27" s="7" customFormat="1" x14ac:dyDescent="0.3">
      <c r="A9" s="6"/>
    </row>
    <row r="10" spans="1:27" s="7" customFormat="1" x14ac:dyDescent="0.3">
      <c r="A10" s="6"/>
    </row>
    <row r="11" spans="1:27" s="7" customFormat="1" x14ac:dyDescent="0.3">
      <c r="A11" s="6"/>
    </row>
    <row r="12" spans="1:27" s="7" customFormat="1" x14ac:dyDescent="0.3">
      <c r="A12" s="6"/>
    </row>
    <row r="13" spans="1:27" s="7" customFormat="1" x14ac:dyDescent="0.3">
      <c r="A13" s="6"/>
    </row>
    <row r="14" spans="1:27" s="7" customFormat="1" x14ac:dyDescent="0.3">
      <c r="A14" s="6"/>
    </row>
    <row r="15" spans="1:27" s="7" customFormat="1" x14ac:dyDescent="0.3">
      <c r="A15" s="6"/>
    </row>
    <row r="16" spans="1:27" s="7" customFormat="1" x14ac:dyDescent="0.3">
      <c r="A16" s="6"/>
    </row>
    <row r="17" spans="1:29" s="7" customFormat="1" x14ac:dyDescent="0.3">
      <c r="A17" s="6"/>
    </row>
    <row r="18" spans="1:29" s="7" customFormat="1" x14ac:dyDescent="0.3">
      <c r="A18" s="6"/>
      <c r="Q18" s="19"/>
    </row>
    <row r="19" spans="1:29" s="7" customFormat="1" x14ac:dyDescent="0.3">
      <c r="A19" s="6"/>
    </row>
    <row r="20" spans="1:29" s="7" customFormat="1" x14ac:dyDescent="0.3">
      <c r="A20" s="6"/>
      <c r="AC20" s="19"/>
    </row>
    <row r="21" spans="1:29" s="7" customFormat="1" x14ac:dyDescent="0.3">
      <c r="A21" s="6"/>
    </row>
    <row r="22" spans="1:29" s="7" customFormat="1" x14ac:dyDescent="0.3">
      <c r="A22" s="6"/>
    </row>
    <row r="23" spans="1:29" s="7" customFormat="1" x14ac:dyDescent="0.3">
      <c r="A23" s="6"/>
    </row>
    <row r="24" spans="1:29" s="7" customFormat="1" x14ac:dyDescent="0.3">
      <c r="A24" s="6"/>
    </row>
    <row r="25" spans="1:29" s="7" customFormat="1" x14ac:dyDescent="0.3">
      <c r="A25" s="6"/>
    </row>
    <row r="26" spans="1:29" s="7" customFormat="1" x14ac:dyDescent="0.3">
      <c r="A26" s="6"/>
    </row>
    <row r="27" spans="1:29" s="7" customFormat="1" x14ac:dyDescent="0.3">
      <c r="A27" s="6"/>
    </row>
    <row r="28" spans="1:29" s="7" customFormat="1" x14ac:dyDescent="0.3">
      <c r="A28" s="6"/>
    </row>
    <row r="29" spans="1:29" s="7" customFormat="1" x14ac:dyDescent="0.3">
      <c r="A29" s="6"/>
    </row>
    <row r="30" spans="1:29" s="7" customFormat="1" x14ac:dyDescent="0.3">
      <c r="A30" s="6"/>
    </row>
    <row r="31" spans="1:29" s="7" customFormat="1" x14ac:dyDescent="0.3">
      <c r="A31" s="6"/>
    </row>
    <row r="32" spans="1:29" s="7" customFormat="1" x14ac:dyDescent="0.3">
      <c r="A32" s="6"/>
    </row>
    <row r="33" spans="1:1" s="7" customFormat="1" x14ac:dyDescent="0.3">
      <c r="A33" s="6"/>
    </row>
    <row r="34" spans="1:1" s="7" customFormat="1" x14ac:dyDescent="0.3">
      <c r="A34" s="6"/>
    </row>
    <row r="35" spans="1:1" s="7" customFormat="1" x14ac:dyDescent="0.3">
      <c r="A35" s="6"/>
    </row>
    <row r="36" spans="1:1" s="7" customFormat="1" x14ac:dyDescent="0.3">
      <c r="A36" s="6"/>
    </row>
    <row r="37" spans="1:1" s="7" customFormat="1" x14ac:dyDescent="0.3">
      <c r="A37" s="6"/>
    </row>
    <row r="38" spans="1:1" s="7" customFormat="1" x14ac:dyDescent="0.3">
      <c r="A38" s="6"/>
    </row>
    <row r="39" spans="1:1" s="7" customFormat="1" x14ac:dyDescent="0.3">
      <c r="A39" s="6"/>
    </row>
    <row r="40" spans="1:1" s="7" customFormat="1" x14ac:dyDescent="0.3">
      <c r="A40" s="6"/>
    </row>
    <row r="41" spans="1:1" s="7" customFormat="1" x14ac:dyDescent="0.3">
      <c r="A41" s="6"/>
    </row>
    <row r="42" spans="1:1" s="7" customFormat="1" x14ac:dyDescent="0.3">
      <c r="A42" s="6"/>
    </row>
    <row r="43" spans="1:1" s="7" customFormat="1" x14ac:dyDescent="0.3">
      <c r="A43" s="6"/>
    </row>
    <row r="44" spans="1:1" s="7" customFormat="1" x14ac:dyDescent="0.3">
      <c r="A44" s="6"/>
    </row>
    <row r="45" spans="1:1" s="7" customFormat="1" x14ac:dyDescent="0.3">
      <c r="A45" s="6"/>
    </row>
    <row r="46" spans="1:1" s="7" customFormat="1" x14ac:dyDescent="0.3">
      <c r="A46" s="6"/>
    </row>
    <row r="47" spans="1:1" s="7" customFormat="1" x14ac:dyDescent="0.3">
      <c r="A47" s="6"/>
    </row>
    <row r="48" spans="1:1" s="7" customFormat="1" x14ac:dyDescent="0.3">
      <c r="A48" s="6"/>
    </row>
    <row r="49" spans="1:1" s="7" customFormat="1" x14ac:dyDescent="0.3">
      <c r="A49" s="6"/>
    </row>
    <row r="50" spans="1:1" s="7" customFormat="1" x14ac:dyDescent="0.3">
      <c r="A50" s="6"/>
    </row>
    <row r="51" spans="1:1" s="7" customFormat="1" x14ac:dyDescent="0.3">
      <c r="A51" s="6"/>
    </row>
    <row r="52" spans="1:1" s="7" customFormat="1" x14ac:dyDescent="0.3">
      <c r="A52" s="6"/>
    </row>
    <row r="53" spans="1:1" s="7" customFormat="1" x14ac:dyDescent="0.3">
      <c r="A53" s="6"/>
    </row>
    <row r="54" spans="1:1" s="7" customFormat="1" x14ac:dyDescent="0.3">
      <c r="A54" s="6"/>
    </row>
    <row r="55" spans="1:1" s="7" customFormat="1" x14ac:dyDescent="0.3">
      <c r="A55" s="6"/>
    </row>
    <row r="56" spans="1:1" s="7" customFormat="1" x14ac:dyDescent="0.3">
      <c r="A56" s="6"/>
    </row>
    <row r="57" spans="1:1" s="7" customFormat="1" x14ac:dyDescent="0.3">
      <c r="A57" s="6"/>
    </row>
    <row r="58" spans="1:1" s="7" customFormat="1" x14ac:dyDescent="0.3">
      <c r="A58" s="6"/>
    </row>
    <row r="59" spans="1:1" s="7" customFormat="1" x14ac:dyDescent="0.3">
      <c r="A59" s="6"/>
    </row>
    <row r="60" spans="1:1" s="7" customFormat="1" x14ac:dyDescent="0.3">
      <c r="A60" s="6"/>
    </row>
    <row r="61" spans="1:1" s="7" customFormat="1" x14ac:dyDescent="0.3">
      <c r="A61" s="6"/>
    </row>
    <row r="62" spans="1:1" s="7" customFormat="1" x14ac:dyDescent="0.3">
      <c r="A62" s="6"/>
    </row>
    <row r="63" spans="1:1" s="7" customFormat="1" x14ac:dyDescent="0.3">
      <c r="A63" s="6"/>
    </row>
    <row r="64" spans="1:1" s="7" customFormat="1" x14ac:dyDescent="0.3">
      <c r="A64" s="6"/>
    </row>
    <row r="65" spans="1:1" s="7" customFormat="1" x14ac:dyDescent="0.3">
      <c r="A65" s="6"/>
    </row>
    <row r="66" spans="1:1" s="7" customFormat="1" x14ac:dyDescent="0.3">
      <c r="A66" s="6"/>
    </row>
    <row r="67" spans="1:1" s="7" customFormat="1" x14ac:dyDescent="0.3">
      <c r="A67" s="6"/>
    </row>
    <row r="68" spans="1:1" s="7" customFormat="1" x14ac:dyDescent="0.3">
      <c r="A68" s="6"/>
    </row>
    <row r="69" spans="1:1" s="7" customFormat="1" x14ac:dyDescent="0.3">
      <c r="A69" s="6"/>
    </row>
    <row r="70" spans="1:1" s="7" customFormat="1" x14ac:dyDescent="0.3">
      <c r="A70" s="6"/>
    </row>
    <row r="71" spans="1:1" s="7" customFormat="1" x14ac:dyDescent="0.3">
      <c r="A71" s="6"/>
    </row>
    <row r="72" spans="1:1" s="7" customFormat="1" x14ac:dyDescent="0.3">
      <c r="A72" s="6"/>
    </row>
    <row r="73" spans="1:1" s="7" customFormat="1" x14ac:dyDescent="0.3">
      <c r="A73" s="6"/>
    </row>
    <row r="74" spans="1:1" s="7" customFormat="1" x14ac:dyDescent="0.3">
      <c r="A74" s="6"/>
    </row>
  </sheetData>
  <sheetProtection selectLockedCells="1" autoFilter="0" pivotTables="0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792457654F084A9F5376681B511FEC" ma:contentTypeVersion="9" ma:contentTypeDescription="Crie um novo documento." ma:contentTypeScope="" ma:versionID="9fe8cdea347fc8ec2a4023ab876689e3">
  <xsd:schema xmlns:xsd="http://www.w3.org/2001/XMLSchema" xmlns:xs="http://www.w3.org/2001/XMLSchema" xmlns:p="http://schemas.microsoft.com/office/2006/metadata/properties" xmlns:ns3="148c8138-c7eb-4041-aee8-60c2d05eb6f1" targetNamespace="http://schemas.microsoft.com/office/2006/metadata/properties" ma:root="true" ma:fieldsID="d8bd78f40bfee9d6d2a5558104afa02e" ns3:_="">
    <xsd:import namespace="148c8138-c7eb-4041-aee8-60c2d05eb6f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8c8138-c7eb-4041-aee8-60c2d05eb6f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8c8138-c7eb-4041-aee8-60c2d05eb6f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D7455F-CDC2-424C-82DB-44FA98CEAE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8c8138-c7eb-4041-aee8-60c2d05eb6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148c8138-c7eb-4041-aee8-60c2d05eb6f1"/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FRANCISCO JOSE SILVA GIUSTI DE ARAUJO</cp:lastModifiedBy>
  <dcterms:created xsi:type="dcterms:W3CDTF">2024-12-19T13:13:10Z</dcterms:created>
  <dcterms:modified xsi:type="dcterms:W3CDTF">2025-12-14T16:28:17Z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0x010100D6792457654F084A9F5376681B511FEC</vt:lpwstr>
  </property>
</Properties>
</file>